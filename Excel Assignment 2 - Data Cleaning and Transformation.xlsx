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Assignments\Excel\"/>
    </mc:Choice>
  </mc:AlternateContent>
  <xr:revisionPtr revIDLastSave="0" documentId="13_ncr:1_{B6641CB4-ED5F-4699-B729-29DAAA8F9B6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aw Dataset" sheetId="2" r:id="rId1"/>
    <sheet name="Before Power query" sheetId="3" r:id="rId2"/>
    <sheet name="Cleaned Dataset" sheetId="4" r:id="rId3"/>
    <sheet name="Observations" sheetId="5" r:id="rId4"/>
  </sheets>
  <definedNames>
    <definedName name="ExternalData_1" localSheetId="2" hidden="1">'Cleaned Dataset'!$A$1:$F$33</definedName>
  </definedNames>
  <calcPr calcId="181029"/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BEB60B-E325-4BC7-AF91-F86B138AC30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<sst xmlns="http://schemas.openxmlformats.org/spreadsheetml/2006/main" count="375" uniqueCount="145">
  <si>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</si>
  <si>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</si>
  <si>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</si>
  <si>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</si>
  <si>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</si>
  <si>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</si>
  <si>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</si>
  <si>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</si>
  <si>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</si>
  <si>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</si>
  <si>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</si>
  <si>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</si>
  <si>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</si>
  <si>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</si>
  <si>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</si>
  <si>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</si>
  <si>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</si>
  <si>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</si>
  <si>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</si>
  <si>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</si>
  <si>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</si>
  <si>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</si>
  <si>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</si>
  <si>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</si>
  <si>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</si>
  <si>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</si>
  <si>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</si>
  <si>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</si>
  <si>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</si>
  <si>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</si>
  <si>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</si>
  <si>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</si>
  <si>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</si>
  <si>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</si>
  <si>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</si>
  <si>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</si>
  <si>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</si>
  <si>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</si>
  <si>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</si>
  <si>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</si>
  <si>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</si>
  <si>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</si>
  <si>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</si>
  <si>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</si>
  <si>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</si>
  <si>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</si>
  <si>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</si>
  <si>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</si>
  <si>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</si>
  <si>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</si>
  <si>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</si>
  <si>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</si>
  <si>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</si>
  <si>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</si>
  <si>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</si>
  <si>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</si>
  <si>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</si>
  <si>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</si>
  <si>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</si>
  <si>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</si>
  <si>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</si>
  <si>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</si>
  <si>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</si>
  <si>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</si>
  <si>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</si>
  <si>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</si>
  <si>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</si>
  <si>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</si>
  <si>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</si>
  <si>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</si>
  <si>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</si>
  <si>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</si>
  <si>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</si>
  <si>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</si>
  <si>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</si>
  <si>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</si>
  <si>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</si>
  <si>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</si>
  <si>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</si>
  <si>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</si>
  <si>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</si>
  <si>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</si>
  <si>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</si>
  <si>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</si>
  <si>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</si>
  <si>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</si>
  <si>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</si>
  <si>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</si>
  <si>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</si>
  <si>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</si>
  <si>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</si>
  <si>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</si>
  <si>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</si>
  <si>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</si>
  <si>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</si>
  <si>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</si>
  <si>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</si>
  <si>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N_Price</t>
  </si>
  <si>
    <t>Product Brand</t>
  </si>
  <si>
    <t>Price</t>
  </si>
  <si>
    <t>Manufacturing Date</t>
  </si>
  <si>
    <t>Country Code</t>
  </si>
  <si>
    <t>Laptop Dell</t>
  </si>
  <si>
    <t>US</t>
  </si>
  <si>
    <t>Sneakers Nike</t>
  </si>
  <si>
    <t>Coffee Maker Keurig</t>
  </si>
  <si>
    <t>Smartphone Samsung</t>
  </si>
  <si>
    <t>Backpack North Face</t>
  </si>
  <si>
    <t>Headphones Sony</t>
  </si>
  <si>
    <t>UK</t>
  </si>
  <si>
    <t>T-Shirt Adidas</t>
  </si>
  <si>
    <t>Blender Ninja</t>
  </si>
  <si>
    <t>Tablet Apple</t>
  </si>
  <si>
    <t>Hiking Boots Timberland</t>
  </si>
  <si>
    <t>Laptop Hp</t>
  </si>
  <si>
    <t>IN</t>
  </si>
  <si>
    <t>Sneakers Adidas</t>
  </si>
  <si>
    <t>AU</t>
  </si>
  <si>
    <t>Coffee Maker Nespresso</t>
  </si>
  <si>
    <t>DE</t>
  </si>
  <si>
    <t>Smartwatch Fitbit</t>
  </si>
  <si>
    <t>CA</t>
  </si>
  <si>
    <t>Headphones Bose</t>
  </si>
  <si>
    <t>ES</t>
  </si>
  <si>
    <t>Laptop Bag Samsonite</t>
  </si>
  <si>
    <t>Smartwatch Huawei</t>
  </si>
  <si>
    <t>CN</t>
  </si>
  <si>
    <t>Laptop Asus</t>
  </si>
  <si>
    <t>IT</t>
  </si>
  <si>
    <t>Sunglasses Oakley</t>
  </si>
  <si>
    <t>Camping Tent Coleman</t>
  </si>
  <si>
    <t>Camera Nikon</t>
  </si>
  <si>
    <t>RU</t>
  </si>
  <si>
    <t>Microwave Panasonic</t>
  </si>
  <si>
    <t>Fitness Tracker Xiaomi</t>
  </si>
  <si>
    <t>BR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</si>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</sst>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dd\-mm\-yyyy"/>
  </numFmts>
  <fonts count="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/>
        <bgColor rgb="FFE0F7FA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rgb="FFE0F7FA"/>
      </patternFill>
    </fill>
    <fill>
      <patternFill patternType="solid">
        <fgColor theme="0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4" borderId="1" xfId="0" applyFont="1" applyFill="1" applyBorder="1"/>
    <xf numFmtId="0" fontId="2" fillId="5" borderId="5" xfId="0" applyFont="1" applyFill="1" applyBorder="1"/>
    <xf numFmtId="0" fontId="2" fillId="5" borderId="1" xfId="0" applyFont="1" applyFill="1" applyBorder="1"/>
    <xf numFmtId="0" fontId="2" fillId="5" borderId="6" xfId="0" applyFont="1" applyFill="1" applyBorder="1"/>
    <xf numFmtId="0" fontId="2" fillId="6" borderId="5" xfId="0" applyFont="1" applyFill="1" applyBorder="1"/>
    <xf numFmtId="0" fontId="2" fillId="6" borderId="1" xfId="0" applyFont="1" applyFill="1" applyBorder="1"/>
    <xf numFmtId="0" fontId="2" fillId="6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1" fontId="2" fillId="3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3" xfId="0" applyNumberFormat="1" applyBorder="1"/>
    <xf numFmtId="164" fontId="0" fillId="0" borderId="1" xfId="0" applyNumberFormat="1" applyBorder="1"/>
    <xf numFmtId="164" fontId="0" fillId="0" borderId="8" xfId="0" applyNumberFormat="1" applyBorder="1"/>
    <xf numFmtId="164" fontId="0" fillId="0" borderId="0" xfId="0" applyNumberFormat="1"/>
    <xf numFmtId="165" fontId="0" fillId="0" borderId="3" xfId="0" applyNumberFormat="1" applyBorder="1"/>
    <xf numFmtId="165" fontId="0" fillId="0" borderId="1" xfId="0" applyNumberFormat="1" applyBorder="1"/>
    <xf numFmtId="165" fontId="0" fillId="0" borderId="8" xfId="0" applyNumberFormat="1" applyBorder="1"/>
    <xf numFmtId="165" fontId="0" fillId="0" borderId="0" xfId="0" applyNumberFormat="1"/>
  </cellXfs>
  <cellStyles count="1">
    <cellStyle name="Normal" xfId="0" builtinId="0"/>
  </cellStyles>
  <dxfs count="40">
    <dxf>
      <fill>
        <patternFill>
          <bgColor theme="6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15</xdr:col>
      <xdr:colOff>523876</xdr:colOff>
      <xdr:row>25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7F1FC2-99F5-C5FE-3437-9F071383EAFD}"/>
            </a:ext>
          </a:extLst>
        </xdr:cNvPr>
        <xdr:cNvSpPr txBox="1"/>
      </xdr:nvSpPr>
      <xdr:spPr>
        <a:xfrm>
          <a:off x="0" y="9525"/>
          <a:ext cx="9667876" cy="418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Steps Taken:</a:t>
          </a:r>
        </a:p>
        <a:p>
          <a:endParaRPr lang="en-US" sz="1100"/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1)Selected the data and changed into a table,used autofit column width and borders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2)Filled the missing category values by filtering and comparing with the given data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3)Checked for duplicate values and deleted the duplicate rows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4)Used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 and replace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correct the spelling mistakes in Category column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5)Calculated the missing price values by using the below formula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=IF(D2=''",AVERAGEIF($G$2:$G$33,G2,$D$2:$D$33),D2)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6)Loaded the data to power query ,split the Product ID column into 2 columns named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Manufacturing Date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Country Code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7)Merged Product Name and Brand Name columns into a single column named Product Brand and capitalized each word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8)Rearranged Columns to look optimised, then closed and loaded the data to excel 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9)Changed the data format of Price column to currency and Manufacturing Date Column as DD-MM-YYYY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10)Applied data bar conditional formatting on price column and created a new custom rule to highlight the cells containing Electronics in the category column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11)Changed the table design </a:t>
          </a: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=IF(D2=''",AVERAGEIF($G$2:$G$33,G2,$D$2:$D$33),D2)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mentioned here is used while finding the missing value in Price column and this column name changed after moving the columns ,so attached screenshot in the pdf</a:t>
          </a: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4C584B-01E3-4B23-99D9-E64766B45537}" autoFormatId="16" applyNumberFormats="0" applyBorderFormats="0" applyFontFormats="0" applyPatternFormats="0" applyAlignmentFormats="0" applyWidthHeightFormats="0">
  <queryTableRefresh nextId="7">
    <queryTableFields count="6">
      <queryTableField id="1" name="Product Brand" tableColumnId="7"/>
      <queryTableField id="2" name="Category" tableColumnId="2"/>
      <queryTableField id="3" name="Price" tableColumnId="3"/>
      <queryTableField id="4" name="Quantity" tableColumnId="4"/>
      <queryTableField id="5" name="Manufacturing Date" tableColumnId="5"/>
      <queryTableField id="6" name="Country Code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BE2FB-A9F7-4402-8462-452D8ED79D53}" name="Table1" displayName="Table1" ref="A1:G33" totalsRowShown="0" headerRowDxfId="22" dataDxfId="20" headerRowBorderDxfId="21" tableBorderDxfId="19" totalsRowBorderDxfId="18">
  <autoFilter ref="A1:G33" xr:uid="{A26BE2FB-A9F7-4402-8462-452D8ED79D53}"/>
  <tableColumns count="7">
    <tableColumn id="1" xr3:uid="{D8D7F807-399A-43C7-A09B-F25E9B8F2A37}" name="Product ID" dataDxfId="17"/>
    <tableColumn id="2" xr3:uid="{55C8B61B-FA3A-4D65-A4CE-0A3C384E7405}" name="Product Name" dataDxfId="16"/>
    <tableColumn id="3" xr3:uid="{69F9DC64-E687-45B8-A501-0EEBF43C61B7}" name="Brand Name" dataDxfId="15"/>
    <tableColumn id="4" xr3:uid="{33B19022-500F-4139-9339-7AD693A12063}" name="Price ($)" dataDxfId="14"/>
    <tableColumn id="7" xr3:uid="{65FCE2AA-2E7B-42A4-8CA3-7FF67CC35454}" name="N_Price" dataDxfId="13">
      <calculatedColumnFormula>IF(D2="",AVERAGEIF($G$2:$G$33,G2,$D$2:$D$33),D2)</calculatedColumnFormula>
    </tableColumn>
    <tableColumn id="5" xr3:uid="{DF7F6826-38DE-49B2-9618-D145E2C0ED8C}" name="Quantity" dataDxfId="12"/>
    <tableColumn id="6" xr3:uid="{52899A8F-78D9-49C2-A84A-B28F36BCB529}" name="Category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8D5A3B-EE9D-45E1-B294-FDCFFD168730}" name="Table1_2" displayName="Table1_2" ref="A1:F33" tableType="queryTable" totalsRowShown="0" headerRowDxfId="10" headerRowBorderDxfId="9" tableBorderDxfId="8" totalsRowBorderDxfId="7">
  <autoFilter ref="A1:F33" xr:uid="{828D5A3B-EE9D-45E1-B294-FDCFFD168730}"/>
  <tableColumns count="6">
    <tableColumn id="7" xr3:uid="{594C7744-6ACB-4C26-864B-6E0E14D63602}" uniqueName="7" name="Product Brand" queryTableFieldId="1" dataDxfId="6"/>
    <tableColumn id="2" xr3:uid="{FB6B5F52-DA86-4FD2-97A6-F5F11056E3FE}" uniqueName="2" name="Category" queryTableFieldId="2" dataDxfId="5"/>
    <tableColumn id="3" xr3:uid="{F50D361F-B684-4400-A8E2-122525908F60}" uniqueName="3" name="Price" queryTableFieldId="3" dataDxfId="4"/>
    <tableColumn id="4" xr3:uid="{199A47BA-CF6B-4418-8EAF-F1228F9B64C3}" uniqueName="4" name="Quantity" queryTableFieldId="4" dataDxfId="3"/>
    <tableColumn id="5" xr3:uid="{57D8EA6B-4423-4B84-B38D-2FFC875D05F7}" uniqueName="5" name="Manufacturing Date" queryTableFieldId="5" dataDxfId="2"/>
    <tableColumn id="6" xr3:uid="{ED9F01CC-B142-4477-A75E-000A49956563}" uniqueName="6" name="Country Code" queryTableFieldId="6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opLeftCell="A7" workbookViewId="0">
      <selection activeCell="H11" sqref="H11"/>
    </sheetView>
  </sheetViews>
  <sheetFormatPr defaultColWidth="12.5703125" defaultRowHeight="15" customHeight="1"/>
  <cols>
    <col min="1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E055-6661-4337-A794-4A1F928EC8D6}">
  <dimension ref="A1:G33"/>
  <sheetViews>
    <sheetView workbookViewId="0">
      <selection activeCell="H16" sqref="H16"/>
    </sheetView>
  </sheetViews>
  <sheetFormatPr defaultRowHeight="12.75"/>
  <cols>
    <col min="1" max="1" width="16.5703125" customWidth="1"/>
    <col min="2" max="3" width="20" customWidth="1"/>
    <col min="4" max="5" width="15.140625" customWidth="1"/>
    <col min="6" max="6" width="14.140625" customWidth="1"/>
    <col min="7" max="7" width="15.85546875" customWidth="1"/>
  </cols>
  <sheetData>
    <row r="1" spans="1:7">
      <c r="A1" s="6" t="s">
        <v>0</v>
      </c>
      <c r="B1" s="7" t="s">
        <v>1</v>
      </c>
      <c r="C1" s="7" t="s">
        <v>2</v>
      </c>
      <c r="D1" s="7" t="s">
        <v>3</v>
      </c>
      <c r="E1" s="7" t="s">
        <v>97</v>
      </c>
      <c r="F1" s="7" t="s">
        <v>4</v>
      </c>
      <c r="G1" s="8" t="s">
        <v>5</v>
      </c>
    </row>
    <row r="2" spans="1:7">
      <c r="A2" s="9" t="s">
        <v>6</v>
      </c>
      <c r="B2" s="10" t="s">
        <v>7</v>
      </c>
      <c r="C2" s="10" t="s">
        <v>8</v>
      </c>
      <c r="D2" s="10">
        <v>1000</v>
      </c>
      <c r="E2" s="10">
        <f t="shared" ref="E2:E33" si="0">IF(D2="",AVERAGEIF($G$2:$G$33,G2,$D$2:$D$33),D2)</f>
        <v>1000</v>
      </c>
      <c r="F2" s="10">
        <v>30</v>
      </c>
      <c r="G2" s="11" t="s">
        <v>9</v>
      </c>
    </row>
    <row r="3" spans="1:7">
      <c r="A3" s="12" t="s">
        <v>10</v>
      </c>
      <c r="B3" s="13" t="s">
        <v>11</v>
      </c>
      <c r="C3" s="13" t="s">
        <v>12</v>
      </c>
      <c r="D3" s="13">
        <v>80</v>
      </c>
      <c r="E3" s="13">
        <f t="shared" si="0"/>
        <v>80</v>
      </c>
      <c r="F3" s="13">
        <v>15</v>
      </c>
      <c r="G3" s="14" t="s">
        <v>13</v>
      </c>
    </row>
    <row r="4" spans="1:7">
      <c r="A4" s="9" t="s">
        <v>14</v>
      </c>
      <c r="B4" s="10" t="s">
        <v>15</v>
      </c>
      <c r="C4" s="10" t="s">
        <v>16</v>
      </c>
      <c r="D4" s="10">
        <v>130</v>
      </c>
      <c r="E4" s="10">
        <f t="shared" si="0"/>
        <v>130</v>
      </c>
      <c r="F4" s="10">
        <v>40</v>
      </c>
      <c r="G4" s="11" t="s">
        <v>17</v>
      </c>
    </row>
    <row r="5" spans="1:7">
      <c r="A5" s="12" t="s">
        <v>18</v>
      </c>
      <c r="B5" s="13" t="s">
        <v>19</v>
      </c>
      <c r="C5" s="13" t="s">
        <v>20</v>
      </c>
      <c r="D5" s="13">
        <v>900</v>
      </c>
      <c r="E5" s="13">
        <f t="shared" si="0"/>
        <v>900</v>
      </c>
      <c r="F5" s="13">
        <v>25</v>
      </c>
      <c r="G5" s="14" t="s">
        <v>9</v>
      </c>
    </row>
    <row r="6" spans="1:7">
      <c r="A6" s="9" t="s">
        <v>21</v>
      </c>
      <c r="B6" s="10" t="s">
        <v>22</v>
      </c>
      <c r="C6" s="10" t="s">
        <v>23</v>
      </c>
      <c r="D6" s="10">
        <v>70</v>
      </c>
      <c r="E6" s="10">
        <f t="shared" si="0"/>
        <v>70</v>
      </c>
      <c r="F6" s="10">
        <v>20</v>
      </c>
      <c r="G6" s="11" t="s">
        <v>56</v>
      </c>
    </row>
    <row r="7" spans="1:7">
      <c r="A7" s="12" t="s">
        <v>24</v>
      </c>
      <c r="B7" s="13" t="s">
        <v>25</v>
      </c>
      <c r="C7" s="13" t="s">
        <v>26</v>
      </c>
      <c r="D7" s="15"/>
      <c r="E7" s="25">
        <f t="shared" si="0"/>
        <v>532.30769230769226</v>
      </c>
      <c r="F7" s="13">
        <v>45</v>
      </c>
      <c r="G7" s="14" t="s">
        <v>9</v>
      </c>
    </row>
    <row r="8" spans="1:7">
      <c r="A8" s="9" t="s">
        <v>28</v>
      </c>
      <c r="B8" s="10" t="s">
        <v>29</v>
      </c>
      <c r="C8" s="10" t="s">
        <v>30</v>
      </c>
      <c r="D8" s="10">
        <v>30</v>
      </c>
      <c r="E8" s="10">
        <f t="shared" si="0"/>
        <v>30</v>
      </c>
      <c r="F8" s="10">
        <v>5</v>
      </c>
      <c r="G8" s="11" t="s">
        <v>13</v>
      </c>
    </row>
    <row r="9" spans="1:7">
      <c r="A9" s="12" t="s">
        <v>31</v>
      </c>
      <c r="B9" s="13" t="s">
        <v>32</v>
      </c>
      <c r="C9" s="13" t="s">
        <v>33</v>
      </c>
      <c r="D9" s="13">
        <v>90</v>
      </c>
      <c r="E9" s="13">
        <f t="shared" si="0"/>
        <v>90</v>
      </c>
      <c r="F9" s="13">
        <v>35</v>
      </c>
      <c r="G9" s="14" t="s">
        <v>17</v>
      </c>
    </row>
    <row r="10" spans="1:7">
      <c r="A10" s="9" t="s">
        <v>34</v>
      </c>
      <c r="B10" s="10" t="s">
        <v>35</v>
      </c>
      <c r="C10" s="10" t="s">
        <v>36</v>
      </c>
      <c r="D10" s="10">
        <v>500</v>
      </c>
      <c r="E10" s="10">
        <f t="shared" si="0"/>
        <v>500</v>
      </c>
      <c r="F10" s="10">
        <v>50</v>
      </c>
      <c r="G10" s="11" t="s">
        <v>9</v>
      </c>
    </row>
    <row r="11" spans="1:7">
      <c r="A11" s="12" t="s">
        <v>37</v>
      </c>
      <c r="B11" s="13" t="s">
        <v>38</v>
      </c>
      <c r="C11" s="13" t="s">
        <v>39</v>
      </c>
      <c r="D11" s="13">
        <v>130</v>
      </c>
      <c r="E11" s="13">
        <f t="shared" si="0"/>
        <v>130</v>
      </c>
      <c r="F11" s="13">
        <v>10</v>
      </c>
      <c r="G11" s="14" t="s">
        <v>40</v>
      </c>
    </row>
    <row r="12" spans="1:7">
      <c r="A12" s="16" t="s">
        <v>41</v>
      </c>
      <c r="B12" s="17" t="s">
        <v>42</v>
      </c>
      <c r="C12" s="17" t="s">
        <v>43</v>
      </c>
      <c r="D12" s="17">
        <v>950</v>
      </c>
      <c r="E12" s="17">
        <f t="shared" si="0"/>
        <v>950</v>
      </c>
      <c r="F12" s="17">
        <v>25</v>
      </c>
      <c r="G12" s="18" t="s">
        <v>9</v>
      </c>
    </row>
    <row r="13" spans="1:7">
      <c r="A13" s="12" t="s">
        <v>44</v>
      </c>
      <c r="B13" s="13" t="s">
        <v>11</v>
      </c>
      <c r="C13" s="13" t="s">
        <v>30</v>
      </c>
      <c r="D13" s="13">
        <v>90</v>
      </c>
      <c r="E13" s="13">
        <f t="shared" si="0"/>
        <v>90</v>
      </c>
      <c r="F13" s="13">
        <v>40</v>
      </c>
      <c r="G13" s="14" t="s">
        <v>13</v>
      </c>
    </row>
    <row r="14" spans="1:7">
      <c r="A14" s="9" t="s">
        <v>45</v>
      </c>
      <c r="B14" s="10" t="s">
        <v>15</v>
      </c>
      <c r="C14" s="10" t="s">
        <v>46</v>
      </c>
      <c r="D14" s="10">
        <v>120</v>
      </c>
      <c r="E14" s="10">
        <f t="shared" si="0"/>
        <v>120</v>
      </c>
      <c r="F14" s="10">
        <v>35</v>
      </c>
      <c r="G14" s="11" t="s">
        <v>17</v>
      </c>
    </row>
    <row r="15" spans="1:7">
      <c r="A15" s="12" t="s">
        <v>47</v>
      </c>
      <c r="B15" s="13" t="s">
        <v>48</v>
      </c>
      <c r="C15" s="13" t="s">
        <v>49</v>
      </c>
      <c r="D15" s="13">
        <v>150</v>
      </c>
      <c r="E15" s="13">
        <f t="shared" si="0"/>
        <v>150</v>
      </c>
      <c r="F15" s="13">
        <v>15</v>
      </c>
      <c r="G15" s="14" t="s">
        <v>9</v>
      </c>
    </row>
    <row r="16" spans="1:7">
      <c r="A16" s="9" t="s">
        <v>50</v>
      </c>
      <c r="B16" s="10" t="s">
        <v>51</v>
      </c>
      <c r="C16" s="10" t="s">
        <v>52</v>
      </c>
      <c r="D16" s="10">
        <v>250</v>
      </c>
      <c r="E16" s="10">
        <f t="shared" si="0"/>
        <v>250</v>
      </c>
      <c r="F16" s="10">
        <v>20</v>
      </c>
      <c r="G16" s="11" t="s">
        <v>9</v>
      </c>
    </row>
    <row r="17" spans="1:7">
      <c r="A17" s="19" t="s">
        <v>53</v>
      </c>
      <c r="B17" s="20" t="s">
        <v>54</v>
      </c>
      <c r="C17" s="20" t="s">
        <v>55</v>
      </c>
      <c r="D17" s="20">
        <v>50</v>
      </c>
      <c r="E17" s="20">
        <f t="shared" si="0"/>
        <v>50</v>
      </c>
      <c r="F17" s="20">
        <v>35</v>
      </c>
      <c r="G17" s="21" t="s">
        <v>56</v>
      </c>
    </row>
    <row r="18" spans="1:7">
      <c r="A18" s="9" t="s">
        <v>57</v>
      </c>
      <c r="B18" s="10" t="s">
        <v>48</v>
      </c>
      <c r="C18" s="10" t="s">
        <v>58</v>
      </c>
      <c r="D18" s="10">
        <v>160</v>
      </c>
      <c r="E18" s="10">
        <f t="shared" si="0"/>
        <v>160</v>
      </c>
      <c r="F18" s="10">
        <v>15</v>
      </c>
      <c r="G18" s="11" t="s">
        <v>9</v>
      </c>
    </row>
    <row r="19" spans="1:7">
      <c r="A19" s="12" t="s">
        <v>59</v>
      </c>
      <c r="B19" s="13" t="s">
        <v>7</v>
      </c>
      <c r="C19" s="13" t="s">
        <v>60</v>
      </c>
      <c r="D19" s="13">
        <v>980</v>
      </c>
      <c r="E19" s="13">
        <f t="shared" si="0"/>
        <v>980</v>
      </c>
      <c r="F19" s="13">
        <v>10</v>
      </c>
      <c r="G19" s="14" t="s">
        <v>9</v>
      </c>
    </row>
    <row r="20" spans="1:7">
      <c r="A20" s="9" t="s">
        <v>61</v>
      </c>
      <c r="B20" s="10" t="s">
        <v>62</v>
      </c>
      <c r="C20" s="10" t="s">
        <v>63</v>
      </c>
      <c r="D20" s="10">
        <v>150</v>
      </c>
      <c r="E20" s="10">
        <f t="shared" si="0"/>
        <v>150</v>
      </c>
      <c r="F20" s="10">
        <v>15</v>
      </c>
      <c r="G20" s="11" t="s">
        <v>13</v>
      </c>
    </row>
    <row r="21" spans="1:7">
      <c r="A21" s="12" t="s">
        <v>64</v>
      </c>
      <c r="B21" s="13" t="s">
        <v>65</v>
      </c>
      <c r="C21" s="13" t="s">
        <v>66</v>
      </c>
      <c r="D21" s="15"/>
      <c r="E21" s="13">
        <f t="shared" si="0"/>
        <v>130</v>
      </c>
      <c r="F21" s="13">
        <v>10</v>
      </c>
      <c r="G21" s="14" t="s">
        <v>40</v>
      </c>
    </row>
    <row r="22" spans="1:7">
      <c r="A22" s="9" t="s">
        <v>67</v>
      </c>
      <c r="B22" s="10" t="s">
        <v>68</v>
      </c>
      <c r="C22" s="10" t="s">
        <v>69</v>
      </c>
      <c r="D22" s="10">
        <v>700</v>
      </c>
      <c r="E22" s="10">
        <f t="shared" si="0"/>
        <v>700</v>
      </c>
      <c r="F22" s="10">
        <v>50</v>
      </c>
      <c r="G22" s="11" t="s">
        <v>9</v>
      </c>
    </row>
    <row r="23" spans="1:7">
      <c r="A23" s="12" t="s">
        <v>70</v>
      </c>
      <c r="B23" s="13" t="s">
        <v>71</v>
      </c>
      <c r="C23" s="13" t="s">
        <v>72</v>
      </c>
      <c r="D23" s="13">
        <v>80</v>
      </c>
      <c r="E23" s="13">
        <f t="shared" si="0"/>
        <v>80</v>
      </c>
      <c r="F23" s="13">
        <v>20</v>
      </c>
      <c r="G23" s="14" t="s">
        <v>17</v>
      </c>
    </row>
    <row r="24" spans="1:7">
      <c r="A24" s="9" t="s">
        <v>73</v>
      </c>
      <c r="B24" s="10" t="s">
        <v>74</v>
      </c>
      <c r="C24" s="10" t="s">
        <v>75</v>
      </c>
      <c r="D24" s="10">
        <v>150</v>
      </c>
      <c r="E24" s="10">
        <f t="shared" si="0"/>
        <v>150</v>
      </c>
      <c r="F24" s="10">
        <v>30</v>
      </c>
      <c r="G24" s="11" t="s">
        <v>9</v>
      </c>
    </row>
    <row r="25" spans="1:7">
      <c r="A25" s="9" t="s">
        <v>76</v>
      </c>
      <c r="B25" s="10" t="s">
        <v>77</v>
      </c>
      <c r="C25" s="10" t="s">
        <v>78</v>
      </c>
      <c r="D25" s="10">
        <v>800</v>
      </c>
      <c r="E25" s="10">
        <f t="shared" si="0"/>
        <v>800</v>
      </c>
      <c r="F25" s="10">
        <v>45</v>
      </c>
      <c r="G25" s="11" t="s">
        <v>9</v>
      </c>
    </row>
    <row r="26" spans="1:7">
      <c r="A26" s="12" t="s">
        <v>79</v>
      </c>
      <c r="B26" s="13" t="s">
        <v>62</v>
      </c>
      <c r="C26" s="13" t="s">
        <v>80</v>
      </c>
      <c r="D26" s="15"/>
      <c r="E26" s="25">
        <f t="shared" si="0"/>
        <v>76.666666666666671</v>
      </c>
      <c r="F26" s="13">
        <v>25</v>
      </c>
      <c r="G26" s="14" t="s">
        <v>13</v>
      </c>
    </row>
    <row r="27" spans="1:7">
      <c r="A27" s="9" t="s">
        <v>81</v>
      </c>
      <c r="B27" s="10" t="s">
        <v>32</v>
      </c>
      <c r="C27" s="10" t="s">
        <v>82</v>
      </c>
      <c r="D27" s="10">
        <v>400</v>
      </c>
      <c r="E27" s="10">
        <f t="shared" si="0"/>
        <v>400</v>
      </c>
      <c r="F27" s="10">
        <v>40</v>
      </c>
      <c r="G27" s="11" t="s">
        <v>17</v>
      </c>
    </row>
    <row r="28" spans="1:7">
      <c r="A28" s="12" t="s">
        <v>50</v>
      </c>
      <c r="B28" s="13" t="s">
        <v>51</v>
      </c>
      <c r="C28" s="13" t="s">
        <v>52</v>
      </c>
      <c r="D28" s="13">
        <v>250</v>
      </c>
      <c r="E28" s="13">
        <f t="shared" si="0"/>
        <v>250</v>
      </c>
      <c r="F28" s="13">
        <v>20</v>
      </c>
      <c r="G28" s="14" t="s">
        <v>9</v>
      </c>
    </row>
    <row r="29" spans="1:7">
      <c r="A29" s="9" t="s">
        <v>83</v>
      </c>
      <c r="B29" s="10" t="s">
        <v>84</v>
      </c>
      <c r="C29" s="10" t="s">
        <v>85</v>
      </c>
      <c r="D29" s="10">
        <v>60</v>
      </c>
      <c r="E29" s="10">
        <f t="shared" si="0"/>
        <v>60</v>
      </c>
      <c r="F29" s="10">
        <v>30</v>
      </c>
      <c r="G29" s="11" t="s">
        <v>13</v>
      </c>
    </row>
    <row r="30" spans="1:7">
      <c r="A30" s="12" t="s">
        <v>86</v>
      </c>
      <c r="B30" s="13" t="s">
        <v>87</v>
      </c>
      <c r="C30" s="13" t="s">
        <v>88</v>
      </c>
      <c r="D30" s="13">
        <v>40</v>
      </c>
      <c r="E30" s="13">
        <f t="shared" si="0"/>
        <v>40</v>
      </c>
      <c r="F30" s="13">
        <v>10</v>
      </c>
      <c r="G30" s="14" t="s">
        <v>17</v>
      </c>
    </row>
    <row r="31" spans="1:7">
      <c r="A31" s="9" t="s">
        <v>89</v>
      </c>
      <c r="B31" s="10" t="s">
        <v>74</v>
      </c>
      <c r="C31" s="10" t="s">
        <v>90</v>
      </c>
      <c r="D31" s="10">
        <v>130</v>
      </c>
      <c r="E31" s="10">
        <f t="shared" si="0"/>
        <v>130</v>
      </c>
      <c r="F31" s="10">
        <v>5</v>
      </c>
      <c r="G31" s="11" t="s">
        <v>9</v>
      </c>
    </row>
    <row r="32" spans="1:7">
      <c r="A32" s="12" t="s">
        <v>91</v>
      </c>
      <c r="B32" s="13" t="s">
        <v>92</v>
      </c>
      <c r="C32" s="13" t="s">
        <v>93</v>
      </c>
      <c r="D32" s="13">
        <v>50</v>
      </c>
      <c r="E32" s="13">
        <f t="shared" si="0"/>
        <v>50</v>
      </c>
      <c r="F32" s="13">
        <v>50</v>
      </c>
      <c r="G32" s="14" t="s">
        <v>13</v>
      </c>
    </row>
    <row r="33" spans="1:7">
      <c r="A33" s="22" t="s">
        <v>94</v>
      </c>
      <c r="B33" s="23" t="s">
        <v>95</v>
      </c>
      <c r="C33" s="23" t="s">
        <v>96</v>
      </c>
      <c r="D33" s="23">
        <v>100</v>
      </c>
      <c r="E33" s="23">
        <f t="shared" si="0"/>
        <v>100</v>
      </c>
      <c r="F33" s="23">
        <v>20</v>
      </c>
      <c r="G33" s="24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93D8-B893-4441-8903-5A81559B3AB9}">
  <dimension ref="A1:F33"/>
  <sheetViews>
    <sheetView tabSelected="1" workbookViewId="0">
      <selection activeCell="H17" sqref="H17"/>
    </sheetView>
  </sheetViews>
  <sheetFormatPr defaultRowHeight="12.75"/>
  <cols>
    <col min="1" max="1" width="24.5703125" customWidth="1"/>
    <col min="2" max="2" width="16" customWidth="1"/>
    <col min="3" max="3" width="14.5703125" style="38" customWidth="1"/>
    <col min="4" max="4" width="12.85546875" customWidth="1"/>
    <col min="5" max="5" width="19.5703125" style="42" customWidth="1"/>
    <col min="6" max="6" width="14.42578125" customWidth="1"/>
  </cols>
  <sheetData>
    <row r="1" spans="1:6">
      <c r="A1" s="26" t="s">
        <v>98</v>
      </c>
      <c r="B1" s="27" t="s">
        <v>5</v>
      </c>
      <c r="C1" s="35" t="s">
        <v>99</v>
      </c>
      <c r="D1" s="27" t="s">
        <v>4</v>
      </c>
      <c r="E1" s="39" t="s">
        <v>100</v>
      </c>
      <c r="F1" s="28" t="s">
        <v>101</v>
      </c>
    </row>
    <row r="2" spans="1:6">
      <c r="A2" s="29" t="s">
        <v>102</v>
      </c>
      <c r="B2" s="30" t="s">
        <v>9</v>
      </c>
      <c r="C2" s="36">
        <v>1000</v>
      </c>
      <c r="D2" s="30">
        <v>30</v>
      </c>
      <c r="E2" s="40">
        <v>46050</v>
      </c>
      <c r="F2" s="31" t="s">
        <v>103</v>
      </c>
    </row>
    <row r="3" spans="1:6">
      <c r="A3" s="29" t="s">
        <v>104</v>
      </c>
      <c r="B3" s="30" t="s">
        <v>13</v>
      </c>
      <c r="C3" s="36">
        <v>80</v>
      </c>
      <c r="D3" s="30">
        <v>15</v>
      </c>
      <c r="E3" s="40">
        <v>46068</v>
      </c>
      <c r="F3" s="31" t="s">
        <v>103</v>
      </c>
    </row>
    <row r="4" spans="1:6">
      <c r="A4" s="29" t="s">
        <v>105</v>
      </c>
      <c r="B4" s="30" t="s">
        <v>17</v>
      </c>
      <c r="C4" s="36">
        <v>130</v>
      </c>
      <c r="D4" s="30">
        <v>40</v>
      </c>
      <c r="E4" s="40">
        <v>46084</v>
      </c>
      <c r="F4" s="31" t="s">
        <v>103</v>
      </c>
    </row>
    <row r="5" spans="1:6">
      <c r="A5" s="29" t="s">
        <v>106</v>
      </c>
      <c r="B5" s="30" t="s">
        <v>9</v>
      </c>
      <c r="C5" s="36">
        <v>900</v>
      </c>
      <c r="D5" s="30">
        <v>25</v>
      </c>
      <c r="E5" s="40">
        <v>46123</v>
      </c>
      <c r="F5" s="31" t="s">
        <v>103</v>
      </c>
    </row>
    <row r="6" spans="1:6">
      <c r="A6" s="29" t="s">
        <v>107</v>
      </c>
      <c r="B6" s="30" t="s">
        <v>56</v>
      </c>
      <c r="C6" s="36">
        <v>70</v>
      </c>
      <c r="D6" s="30">
        <v>20</v>
      </c>
      <c r="E6" s="40">
        <v>46164</v>
      </c>
      <c r="F6" s="31" t="s">
        <v>103</v>
      </c>
    </row>
    <row r="7" spans="1:6">
      <c r="A7" s="29" t="s">
        <v>108</v>
      </c>
      <c r="B7" s="30" t="s">
        <v>9</v>
      </c>
      <c r="C7" s="36">
        <v>532.30769999999995</v>
      </c>
      <c r="D7" s="30">
        <v>45</v>
      </c>
      <c r="E7" s="40">
        <v>46180</v>
      </c>
      <c r="F7" s="31" t="s">
        <v>109</v>
      </c>
    </row>
    <row r="8" spans="1:6">
      <c r="A8" s="29" t="s">
        <v>110</v>
      </c>
      <c r="B8" s="30" t="s">
        <v>13</v>
      </c>
      <c r="C8" s="36">
        <v>30</v>
      </c>
      <c r="D8" s="30">
        <v>5</v>
      </c>
      <c r="E8" s="40">
        <v>46222</v>
      </c>
      <c r="F8" s="31" t="s">
        <v>109</v>
      </c>
    </row>
    <row r="9" spans="1:6">
      <c r="A9" s="29" t="s">
        <v>111</v>
      </c>
      <c r="B9" s="30" t="s">
        <v>17</v>
      </c>
      <c r="C9" s="36">
        <v>90</v>
      </c>
      <c r="D9" s="30">
        <v>35</v>
      </c>
      <c r="E9" s="40">
        <v>46257</v>
      </c>
      <c r="F9" s="31" t="s">
        <v>109</v>
      </c>
    </row>
    <row r="10" spans="1:6">
      <c r="A10" s="29" t="s">
        <v>112</v>
      </c>
      <c r="B10" s="30" t="s">
        <v>9</v>
      </c>
      <c r="C10" s="36">
        <v>500</v>
      </c>
      <c r="D10" s="30">
        <v>50</v>
      </c>
      <c r="E10" s="40">
        <v>46270</v>
      </c>
      <c r="F10" s="31" t="s">
        <v>109</v>
      </c>
    </row>
    <row r="11" spans="1:6">
      <c r="A11" s="29" t="s">
        <v>113</v>
      </c>
      <c r="B11" s="30" t="s">
        <v>40</v>
      </c>
      <c r="C11" s="36">
        <v>130</v>
      </c>
      <c r="D11" s="30">
        <v>10</v>
      </c>
      <c r="E11" s="40">
        <v>46309</v>
      </c>
      <c r="F11" s="31" t="s">
        <v>109</v>
      </c>
    </row>
    <row r="12" spans="1:6">
      <c r="A12" s="29" t="s">
        <v>114</v>
      </c>
      <c r="B12" s="30" t="s">
        <v>9</v>
      </c>
      <c r="C12" s="36">
        <v>950</v>
      </c>
      <c r="D12" s="30">
        <v>25</v>
      </c>
      <c r="E12" s="40">
        <v>46190</v>
      </c>
      <c r="F12" s="31" t="s">
        <v>115</v>
      </c>
    </row>
    <row r="13" spans="1:6">
      <c r="A13" s="29" t="s">
        <v>116</v>
      </c>
      <c r="B13" s="30" t="s">
        <v>13</v>
      </c>
      <c r="C13" s="36">
        <v>90</v>
      </c>
      <c r="D13" s="30">
        <v>40</v>
      </c>
      <c r="E13" s="40">
        <v>46351</v>
      </c>
      <c r="F13" s="31" t="s">
        <v>117</v>
      </c>
    </row>
    <row r="14" spans="1:6">
      <c r="A14" s="29" t="s">
        <v>118</v>
      </c>
      <c r="B14" s="30" t="s">
        <v>17</v>
      </c>
      <c r="C14" s="36">
        <v>120</v>
      </c>
      <c r="D14" s="30">
        <v>35</v>
      </c>
      <c r="E14" s="40">
        <v>46364</v>
      </c>
      <c r="F14" s="31" t="s">
        <v>119</v>
      </c>
    </row>
    <row r="15" spans="1:6">
      <c r="A15" s="29" t="s">
        <v>120</v>
      </c>
      <c r="B15" s="30" t="s">
        <v>9</v>
      </c>
      <c r="C15" s="36">
        <v>150</v>
      </c>
      <c r="D15" s="30">
        <v>15</v>
      </c>
      <c r="E15" s="40">
        <v>46071</v>
      </c>
      <c r="F15" s="31" t="s">
        <v>121</v>
      </c>
    </row>
    <row r="16" spans="1:6">
      <c r="A16" s="29" t="s">
        <v>122</v>
      </c>
      <c r="B16" s="30" t="s">
        <v>9</v>
      </c>
      <c r="C16" s="36">
        <v>250</v>
      </c>
      <c r="D16" s="30">
        <v>20</v>
      </c>
      <c r="E16" s="40">
        <v>46128</v>
      </c>
      <c r="F16" s="31" t="s">
        <v>123</v>
      </c>
    </row>
    <row r="17" spans="1:6">
      <c r="A17" s="29" t="s">
        <v>124</v>
      </c>
      <c r="B17" s="30" t="s">
        <v>56</v>
      </c>
      <c r="C17" s="36">
        <v>50</v>
      </c>
      <c r="D17" s="30">
        <v>35</v>
      </c>
      <c r="E17" s="40">
        <v>46255</v>
      </c>
      <c r="F17" s="31" t="s">
        <v>121</v>
      </c>
    </row>
    <row r="18" spans="1:6">
      <c r="A18" s="29" t="s">
        <v>125</v>
      </c>
      <c r="B18" s="30" t="s">
        <v>9</v>
      </c>
      <c r="C18" s="36">
        <v>160</v>
      </c>
      <c r="D18" s="30">
        <v>15</v>
      </c>
      <c r="E18" s="40">
        <v>46254</v>
      </c>
      <c r="F18" s="31" t="s">
        <v>126</v>
      </c>
    </row>
    <row r="19" spans="1:6">
      <c r="A19" s="29" t="s">
        <v>127</v>
      </c>
      <c r="B19" s="30" t="s">
        <v>9</v>
      </c>
      <c r="C19" s="36">
        <v>980</v>
      </c>
      <c r="D19" s="30">
        <v>10</v>
      </c>
      <c r="E19" s="40">
        <v>46049</v>
      </c>
      <c r="F19" s="31" t="s">
        <v>128</v>
      </c>
    </row>
    <row r="20" spans="1:6">
      <c r="A20" s="29" t="s">
        <v>129</v>
      </c>
      <c r="B20" s="30" t="s">
        <v>13</v>
      </c>
      <c r="C20" s="36">
        <v>150</v>
      </c>
      <c r="D20" s="30">
        <v>15</v>
      </c>
      <c r="E20" s="40">
        <v>46082</v>
      </c>
      <c r="F20" s="31" t="s">
        <v>109</v>
      </c>
    </row>
    <row r="21" spans="1:6">
      <c r="A21" s="29" t="s">
        <v>130</v>
      </c>
      <c r="B21" s="30" t="s">
        <v>40</v>
      </c>
      <c r="C21" s="36">
        <v>130</v>
      </c>
      <c r="D21" s="30">
        <v>10</v>
      </c>
      <c r="E21" s="40">
        <v>46248</v>
      </c>
      <c r="F21" s="31" t="s">
        <v>103</v>
      </c>
    </row>
    <row r="22" spans="1:6">
      <c r="A22" s="29" t="s">
        <v>131</v>
      </c>
      <c r="B22" s="30" t="s">
        <v>9</v>
      </c>
      <c r="C22" s="36">
        <v>700</v>
      </c>
      <c r="D22" s="30">
        <v>50</v>
      </c>
      <c r="E22" s="40">
        <v>46156</v>
      </c>
      <c r="F22" s="31" t="s">
        <v>132</v>
      </c>
    </row>
    <row r="23" spans="1:6">
      <c r="A23" s="29" t="s">
        <v>133</v>
      </c>
      <c r="B23" s="30" t="s">
        <v>17</v>
      </c>
      <c r="C23" s="36">
        <v>80</v>
      </c>
      <c r="D23" s="30">
        <v>20</v>
      </c>
      <c r="E23" s="40">
        <v>46031</v>
      </c>
      <c r="F23" s="31" t="s">
        <v>121</v>
      </c>
    </row>
    <row r="24" spans="1:6">
      <c r="A24" s="29" t="s">
        <v>134</v>
      </c>
      <c r="B24" s="30" t="s">
        <v>9</v>
      </c>
      <c r="C24" s="36">
        <v>150</v>
      </c>
      <c r="D24" s="30">
        <v>30</v>
      </c>
      <c r="E24" s="40">
        <v>46222</v>
      </c>
      <c r="F24" s="31" t="s">
        <v>135</v>
      </c>
    </row>
    <row r="25" spans="1:6">
      <c r="A25" s="29" t="s">
        <v>136</v>
      </c>
      <c r="B25" s="30" t="s">
        <v>9</v>
      </c>
      <c r="C25" s="36">
        <v>800</v>
      </c>
      <c r="D25" s="30">
        <v>45</v>
      </c>
      <c r="E25" s="40">
        <v>46294</v>
      </c>
      <c r="F25" s="31" t="s">
        <v>121</v>
      </c>
    </row>
    <row r="26" spans="1:6">
      <c r="A26" s="29" t="s">
        <v>137</v>
      </c>
      <c r="B26" s="30" t="s">
        <v>13</v>
      </c>
      <c r="C26" s="36">
        <v>76.666700000000006</v>
      </c>
      <c r="D26" s="30">
        <v>25</v>
      </c>
      <c r="E26" s="40">
        <v>46176</v>
      </c>
      <c r="F26" s="31" t="s">
        <v>121</v>
      </c>
    </row>
    <row r="27" spans="1:6">
      <c r="A27" s="29" t="s">
        <v>138</v>
      </c>
      <c r="B27" s="30" t="s">
        <v>17</v>
      </c>
      <c r="C27" s="36">
        <v>400</v>
      </c>
      <c r="D27" s="30">
        <v>40</v>
      </c>
      <c r="E27" s="40">
        <v>46214</v>
      </c>
      <c r="F27" s="31" t="s">
        <v>121</v>
      </c>
    </row>
    <row r="28" spans="1:6">
      <c r="A28" s="29" t="s">
        <v>122</v>
      </c>
      <c r="B28" s="30" t="s">
        <v>9</v>
      </c>
      <c r="C28" s="36">
        <v>250</v>
      </c>
      <c r="D28" s="30">
        <v>20</v>
      </c>
      <c r="E28" s="40">
        <v>46128</v>
      </c>
      <c r="F28" s="31" t="s">
        <v>123</v>
      </c>
    </row>
    <row r="29" spans="1:6">
      <c r="A29" s="29" t="s">
        <v>139</v>
      </c>
      <c r="B29" s="30" t="s">
        <v>13</v>
      </c>
      <c r="C29" s="36">
        <v>60</v>
      </c>
      <c r="D29" s="30">
        <v>30</v>
      </c>
      <c r="E29" s="40">
        <v>46088</v>
      </c>
      <c r="F29" s="31" t="s">
        <v>121</v>
      </c>
    </row>
    <row r="30" spans="1:6">
      <c r="A30" s="29" t="s">
        <v>140</v>
      </c>
      <c r="B30" s="30" t="s">
        <v>17</v>
      </c>
      <c r="C30" s="36">
        <v>40</v>
      </c>
      <c r="D30" s="30">
        <v>10</v>
      </c>
      <c r="E30" s="40">
        <v>46125</v>
      </c>
      <c r="F30" s="31" t="s">
        <v>121</v>
      </c>
    </row>
    <row r="31" spans="1:6">
      <c r="A31" s="29" t="s">
        <v>141</v>
      </c>
      <c r="B31" s="30" t="s">
        <v>9</v>
      </c>
      <c r="C31" s="36">
        <v>130</v>
      </c>
      <c r="D31" s="30">
        <v>5</v>
      </c>
      <c r="E31" s="40">
        <v>46166</v>
      </c>
      <c r="F31" s="31" t="s">
        <v>121</v>
      </c>
    </row>
    <row r="32" spans="1:6">
      <c r="A32" s="29" t="s">
        <v>142</v>
      </c>
      <c r="B32" s="30" t="s">
        <v>13</v>
      </c>
      <c r="C32" s="36">
        <v>50</v>
      </c>
      <c r="D32" s="30">
        <v>50</v>
      </c>
      <c r="E32" s="40">
        <v>46358</v>
      </c>
      <c r="F32" s="31" t="s">
        <v>121</v>
      </c>
    </row>
    <row r="33" spans="1:6">
      <c r="A33" s="32" t="s">
        <v>143</v>
      </c>
      <c r="B33" s="33" t="s">
        <v>56</v>
      </c>
      <c r="C33" s="37">
        <v>100</v>
      </c>
      <c r="D33" s="33">
        <v>20</v>
      </c>
      <c r="E33" s="41">
        <v>46212</v>
      </c>
      <c r="F33" s="34" t="s">
        <v>144</v>
      </c>
    </row>
  </sheetData>
  <phoneticPr fontId="5" type="noConversion"/>
  <conditionalFormatting sqref="B1:B33">
    <cfRule type="containsText" dxfId="0" priority="2" operator="containsText" text="Electronics">
      <formula>NOT(ISERROR(SEARCH("Electronics",B1)))</formula>
    </cfRule>
  </conditionalFormatting>
  <conditionalFormatting sqref="C2:C3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{E4BD8A81-EF3B-45F4-8BAD-2F687932A360}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BD8A81-EF3B-45F4-8BAD-2F687932A3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2998-E2F4-4A3F-8081-ED3A74448DB4}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03637E-33FB-418C-9F30-699D7461E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Dataset</vt:lpstr>
      <vt:lpstr>Before Power query</vt:lpstr>
      <vt:lpstr>Cleaned Dataset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Madhumathi K</cp:lastModifiedBy>
  <dcterms:created xsi:type="dcterms:W3CDTF">2026-07-23T14:43:37Z</dcterms:created>
  <dcterms:modified xsi:type="dcterms:W3CDTF">2026-09-24T06:04:08Z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